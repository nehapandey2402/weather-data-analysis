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 defaultThemeVersion="166925"/>
  <xr:revisionPtr revIDLastSave="68" documentId="11_E60897F41BE170836B02CE998F75CCDC64E183C8" xr6:coauthVersionLast="47" xr6:coauthVersionMax="47" xr10:uidLastSave="{289C0919-1ACE-485F-8F6D-8C599B72F4C4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Slicer_WEATHER_CONDITION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  <c r="H2" i="1"/>
  <c r="G2" i="1"/>
</calcChain>
</file>

<file path=xl/sharedStrings.xml><?xml version="1.0" encoding="utf-8"?>
<sst xmlns="http://schemas.openxmlformats.org/spreadsheetml/2006/main" count="21" uniqueCount="14">
  <si>
    <t>DATE</t>
  </si>
  <si>
    <t>TEMPERATURE</t>
  </si>
  <si>
    <t>HUMIDITY</t>
  </si>
  <si>
    <t>WINDSPEED</t>
  </si>
  <si>
    <t>RAINFALL</t>
  </si>
  <si>
    <t>WEATHER CONDITION</t>
  </si>
  <si>
    <t xml:space="preserve">MAXIMUM TEMPERATURE </t>
  </si>
  <si>
    <t>MINIMUM TEMPERATURE</t>
  </si>
  <si>
    <t>AVERAGE RAINFALL</t>
  </si>
  <si>
    <t>Foggy</t>
  </si>
  <si>
    <t>Cloudy</t>
  </si>
  <si>
    <t>Sunny</t>
  </si>
  <si>
    <t>Rainy</t>
  </si>
  <si>
    <t>Cold/Foggy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</si>
</sst>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7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1" fillId="2" borderId="0" xfId="0" applyFont="1" applyFill="1"/>
    <xf numFmtId="0" fontId="0" fillId="2" borderId="0" xfId="0" applyFill="1"/>
    <xf numFmtId="15" fontId="2" fillId="0" borderId="1" xfId="0" applyNumberFormat="1" applyFont="1" applyBorder="1"/>
    <xf numFmtId="0" fontId="1" fillId="2" borderId="3" xfId="0" applyFont="1" applyFill="1" applyBorder="1"/>
  </cellXfs>
  <cellStyles count="1">
    <cellStyle name="Normal" xfId="0" builtinId="0"/>
  </cellStyles>
  <dxfs count="9"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family val="2"/>
        <scheme val="minor"/>
      </font>
      <numFmt numFmtId="20" formatCode="dd/mmm/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TEMPERATURE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15-Jan-25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yVal>
            <c:numRef>
              <c:f>Sheet1!$B$2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bubbleSize>
            <c:numRef>
              <c:f>Sheet1!$B$3</c:f>
              <c:numCache>
                <c:formatCode>General</c:formatCode>
                <c:ptCount val="1"/>
                <c:pt idx="0">
                  <c:v>18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466A-43A8-B31C-214AA69FE19A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15-Mar-25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>
              <a:noFill/>
            </a:ln>
            <a:effectLst/>
          </c:spPr>
          <c:invertIfNegative val="0"/>
          <c:yVal>
            <c:numRef>
              <c:f>Sheet1!$B$4</c:f>
              <c:numCache>
                <c:formatCode>General</c:formatCode>
                <c:ptCount val="1"/>
                <c:pt idx="0">
                  <c:v>25</c:v>
                </c:pt>
              </c:numCache>
            </c:numRef>
          </c:yVal>
          <c:bubbleSize>
            <c:numRef>
              <c:f>Sheet1!$B$5</c:f>
              <c:numCache>
                <c:formatCode>General</c:formatCode>
                <c:ptCount val="1"/>
                <c:pt idx="0">
                  <c:v>32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466A-43A8-B31C-214AA69FE19A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15-May-25</c:v>
                </c:pt>
              </c:strCache>
            </c:strRef>
          </c:tx>
          <c:spPr>
            <a:solidFill>
              <a:schemeClr val="accent3">
                <a:alpha val="75000"/>
              </a:schemeClr>
            </a:solidFill>
            <a:ln>
              <a:noFill/>
            </a:ln>
            <a:effectLst/>
          </c:spPr>
          <c:invertIfNegative val="0"/>
          <c:yVal>
            <c:numRef>
              <c:f>Sheet1!$B$6</c:f>
              <c:numCache>
                <c:formatCode>General</c:formatCode>
                <c:ptCount val="1"/>
                <c:pt idx="0">
                  <c:v>38</c:v>
                </c:pt>
              </c:numCache>
            </c:numRef>
          </c:yVal>
          <c:bubbleSize>
            <c:numRef>
              <c:f>Sheet1!$B$7</c:f>
              <c:numCache>
                <c:formatCode>General</c:formatCode>
                <c:ptCount val="1"/>
                <c:pt idx="0">
                  <c:v>35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466A-43A8-B31C-214AA69FE19A}"/>
            </c:ext>
          </c:extLst>
        </c:ser>
        <c:ser>
          <c:idx val="3"/>
          <c:order val="3"/>
          <c:tx>
            <c:strRef>
              <c:f>Sheet1!$A$8</c:f>
              <c:strCache>
                <c:ptCount val="1"/>
                <c:pt idx="0">
                  <c:v>15-Jul-25</c:v>
                </c:pt>
              </c:strCache>
            </c:strRef>
          </c:tx>
          <c:spPr>
            <a:solidFill>
              <a:schemeClr val="accent4">
                <a:alpha val="75000"/>
              </a:schemeClr>
            </a:solidFill>
            <a:ln>
              <a:noFill/>
            </a:ln>
            <a:effectLst/>
          </c:spPr>
          <c:invertIfNegative val="0"/>
          <c:yVal>
            <c:numRef>
              <c:f>Sheet1!$B$8</c:f>
              <c:numCache>
                <c:formatCode>General</c:formatCode>
                <c:ptCount val="1"/>
                <c:pt idx="0">
                  <c:v>30</c:v>
                </c:pt>
              </c:numCache>
            </c:numRef>
          </c:yVal>
          <c:bubbleSize>
            <c:numRef>
              <c:f>Sheet1!$B$9</c:f>
              <c:numCache>
                <c:formatCode>General</c:formatCode>
                <c:ptCount val="1"/>
                <c:pt idx="0">
                  <c:v>29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6-466A-43A8-B31C-214AA69FE19A}"/>
            </c:ext>
          </c:extLst>
        </c:ser>
        <c:ser>
          <c:idx val="4"/>
          <c:order val="4"/>
          <c:tx>
            <c:strRef>
              <c:f>Sheet1!$A$10</c:f>
              <c:strCache>
                <c:ptCount val="1"/>
                <c:pt idx="0">
                  <c:v>15-Sep-25</c:v>
                </c:pt>
              </c:strCache>
            </c:strRef>
          </c:tx>
          <c:spPr>
            <a:solidFill>
              <a:schemeClr val="accent5">
                <a:alpha val="75000"/>
              </a:schemeClr>
            </a:solidFill>
            <a:ln>
              <a:noFill/>
            </a:ln>
            <a:effectLst/>
          </c:spPr>
          <c:invertIfNegative val="0"/>
          <c:yVal>
            <c:numRef>
              <c:f>Sheet1!$B$10</c:f>
              <c:numCache>
                <c:formatCode>General</c:formatCode>
                <c:ptCount val="1"/>
                <c:pt idx="0">
                  <c:v>28</c:v>
                </c:pt>
              </c:numCache>
            </c:numRef>
          </c:yVal>
          <c:bubbleSize>
            <c:numRef>
              <c:f>Sheet1!$B$11</c:f>
              <c:numCache>
                <c:formatCode>General</c:formatCode>
                <c:ptCount val="1"/>
                <c:pt idx="0">
                  <c:v>24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8-466A-43A8-B31C-214AA69FE19A}"/>
            </c:ext>
          </c:extLst>
        </c:ser>
        <c:ser>
          <c:idx val="5"/>
          <c:order val="5"/>
          <c:tx>
            <c:strRef>
              <c:f>Sheet1!$A$12</c:f>
              <c:strCache>
                <c:ptCount val="1"/>
                <c:pt idx="0">
                  <c:v>15-Nov-25</c:v>
                </c:pt>
              </c:strCache>
            </c:strRef>
          </c:tx>
          <c:spPr>
            <a:solidFill>
              <a:schemeClr val="accent6">
                <a:alpha val="75000"/>
              </a:schemeClr>
            </a:solidFill>
            <a:ln>
              <a:noFill/>
            </a:ln>
            <a:effectLst/>
          </c:spPr>
          <c:invertIfNegative val="0"/>
          <c:yVal>
            <c:numRef>
              <c:f>Sheet1!$B$12</c:f>
              <c:numCache>
                <c:formatCode>General</c:formatCode>
                <c:ptCount val="1"/>
                <c:pt idx="0">
                  <c:v>19</c:v>
                </c:pt>
              </c:numCache>
            </c:numRef>
          </c:yVal>
          <c:bubbleSize>
            <c:numRef>
              <c:f>Sheet1!$B$13</c:f>
              <c:numCache>
                <c:formatCode>General</c:formatCode>
                <c:ptCount val="1"/>
                <c:pt idx="0">
                  <c:v>14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A-466A-43A8-B31C-214AA69FE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55275015"/>
        <c:axId val="455277063"/>
      </c:bubbleChart>
      <c:valAx>
        <c:axId val="455275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277063"/>
        <c:crosses val="autoZero"/>
        <c:crossBetween val="midCat"/>
      </c:valAx>
      <c:valAx>
        <c:axId val="455277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275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MONTHLY RAINFALL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Sheet1!$A$1</c:f>
              <c:strCache>
                <c:ptCount val="1"/>
                <c:pt idx="0">
                  <c:v>DATE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val>
            <c:numRef>
              <c:f>Sheet1!$A$2:$A$14</c:f>
              <c:numCache>
                <c:formatCode>d\-mmm\-yy</c:formatCode>
                <c:ptCount val="13"/>
                <c:pt idx="0">
                  <c:v>45672</c:v>
                </c:pt>
                <c:pt idx="1">
                  <c:v>45703</c:v>
                </c:pt>
                <c:pt idx="2">
                  <c:v>45731</c:v>
                </c:pt>
                <c:pt idx="3">
                  <c:v>45762</c:v>
                </c:pt>
                <c:pt idx="4">
                  <c:v>45792</c:v>
                </c:pt>
                <c:pt idx="5">
                  <c:v>45823</c:v>
                </c:pt>
                <c:pt idx="6">
                  <c:v>45853</c:v>
                </c:pt>
                <c:pt idx="7">
                  <c:v>45884</c:v>
                </c:pt>
                <c:pt idx="8">
                  <c:v>45915</c:v>
                </c:pt>
                <c:pt idx="9">
                  <c:v>45945</c:v>
                </c:pt>
                <c:pt idx="10">
                  <c:v>45976</c:v>
                </c:pt>
                <c:pt idx="11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5-4078-9605-C133DAB9D4FC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RAINFALL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val>
            <c:numRef>
              <c:f>Sheet1!$E$2:$E$14</c:f>
              <c:numCache>
                <c:formatCode>General</c:formatCode>
                <c:ptCount val="13"/>
                <c:pt idx="0">
                  <c:v>5</c:v>
                </c:pt>
                <c:pt idx="1">
                  <c:v>10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80</c:v>
                </c:pt>
                <c:pt idx="6">
                  <c:v>150</c:v>
                </c:pt>
                <c:pt idx="7">
                  <c:v>130</c:v>
                </c:pt>
                <c:pt idx="8">
                  <c:v>45</c:v>
                </c:pt>
                <c:pt idx="9">
                  <c:v>10</c:v>
                </c:pt>
                <c:pt idx="10">
                  <c:v>0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15-4078-9605-C133DAB9D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9525</xdr:rowOff>
    </xdr:from>
    <xdr:to>
      <xdr:col>4</xdr:col>
      <xdr:colOff>523875</xdr:colOff>
      <xdr:row>27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9B2F1-86AD-C6F6-099A-B5D41A8D4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552450</xdr:colOff>
      <xdr:row>13</xdr:row>
      <xdr:rowOff>9525</xdr:rowOff>
    </xdr:from>
    <xdr:to>
      <xdr:col>7</xdr:col>
      <xdr:colOff>514350</xdr:colOff>
      <xdr:row>27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B46ED0-1BFD-ADBD-E7EB-6672A175F937}"/>
            </a:ext>
            <a:ext uri="{147F2762-F138-4A5C-976F-8EAC2B608ADB}">
              <a16:predDERef xmlns:a16="http://schemas.microsoft.com/office/drawing/2014/main" pred="{6B39B2F1-86AD-C6F6-099A-B5D41A8D4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6</xdr:col>
      <xdr:colOff>123825</xdr:colOff>
      <xdr:row>2</xdr:row>
      <xdr:rowOff>19050</xdr:rowOff>
    </xdr:from>
    <xdr:to>
      <xdr:col>7</xdr:col>
      <xdr:colOff>161925</xdr:colOff>
      <xdr:row>12</xdr:row>
      <xdr:rowOff>104775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4" name="WEATHER CONDITION">
              <a:extLst>
                <a:ext uri="{FF2B5EF4-FFF2-40B4-BE49-F238E27FC236}">
                  <a16:creationId xmlns:a16="http://schemas.microsoft.com/office/drawing/2014/main" id="{643741C2-587F-38D0-E69E-8998706AFD9A}"/>
                </a:ext>
                <a:ext uri="{147F2762-F138-4A5C-976F-8EAC2B608ADB}">
                  <a16:predDERef xmlns:a16="http://schemas.microsoft.com/office/drawing/2014/main" pred="{0CB46ED0-1BFD-ADBD-E7EB-6672A175F9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 CONDI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0" y="409575"/>
              <a:ext cx="1828800" cy="1990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ATHER_CONDITION" xr10:uid="{9B65CEE4-86CB-4EC5-8513-CE8B283929ED}" sourceName="WEATHER CONDITION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EATHER CONDITION" xr10:uid="{34A01E6A-8945-4F72-9356-7177FD0EA980}" cache="Slicer_WEATHER_CONDITION" caption="WEATHER CONDITI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F4CFF-EBCF-428F-877A-3A028EA08EC9}" name="Table1" displayName="Table1" ref="A1:F14" totalsRowShown="0" headerRowDxfId="8" headerRowBorderDxfId="6" tableBorderDxfId="7">
  <autoFilter ref="A1:F14" xr:uid="{A51F4CFF-EBCF-428F-877A-3A028EA08EC9}"/>
  <tableColumns count="6">
    <tableColumn id="1" xr3:uid="{B842BE0B-5D09-4C18-92FD-9D35027E591D}" name="DATE" dataDxfId="5"/>
    <tableColumn id="2" xr3:uid="{FF8CDE9C-8DBA-4F95-8D3B-C1333C88111E}" name="TEMPERATURE" dataDxfId="4"/>
    <tableColumn id="3" xr3:uid="{99F857E7-13C2-45B5-8F84-5EAA0FA5A6EF}" name="HUMIDITY" dataDxfId="3"/>
    <tableColumn id="4" xr3:uid="{7568DDCC-10CB-40A8-A05B-2B220D3080E0}" name="WINDSPEED" dataDxfId="2"/>
    <tableColumn id="5" xr3:uid="{D6D597C1-770E-48E7-898C-B60D4855906B}" name="RAINFALL" dataDxfId="1"/>
    <tableColumn id="6" xr3:uid="{099D604D-7117-4BE3-A49E-78769B5D1A6E}" name="WEATHER CONDI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showGridLines="0" tabSelected="1" workbookViewId="0">
      <selection activeCell="H19" sqref="H19"/>
    </sheetView>
  </sheetViews>
  <sheetFormatPr defaultRowHeight="15"/>
  <cols>
    <col min="1" max="1" width="15.7109375" customWidth="1"/>
    <col min="2" max="2" width="18.7109375" customWidth="1"/>
    <col min="3" max="3" width="13" bestFit="1" customWidth="1"/>
    <col min="4" max="4" width="14.7109375" bestFit="1" customWidth="1"/>
    <col min="5" max="5" width="12.28515625" bestFit="1" customWidth="1"/>
    <col min="6" max="6" width="24.28515625" bestFit="1" customWidth="1"/>
    <col min="7" max="7" width="26.85546875" bestFit="1" customWidth="1"/>
    <col min="8" max="8" width="25.85546875" bestFit="1" customWidth="1"/>
    <col min="9" max="9" width="19.5703125" bestFit="1" customWidth="1"/>
  </cols>
  <sheetData>
    <row r="1" spans="1:9" s="5" customFormat="1" ht="15.7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4" t="s">
        <v>6</v>
      </c>
      <c r="H1" s="4" t="s">
        <v>7</v>
      </c>
      <c r="I1" s="4" t="s">
        <v>8</v>
      </c>
    </row>
    <row r="2" spans="1:9">
      <c r="A2" s="6">
        <v>45672</v>
      </c>
      <c r="B2" s="1">
        <v>15</v>
      </c>
      <c r="C2" s="1">
        <v>80</v>
      </c>
      <c r="D2" s="2">
        <v>12</v>
      </c>
      <c r="E2" s="2">
        <v>5</v>
      </c>
      <c r="F2" s="3" t="s">
        <v>9</v>
      </c>
      <c r="G2" s="1">
        <f>MAX(B2:B13)</f>
        <v>38</v>
      </c>
      <c r="H2" s="1">
        <f>MIN(B2:B13)</f>
        <v>14</v>
      </c>
      <c r="I2" s="1">
        <f>AVERAGE(E2:E13)</f>
        <v>36.416666666666664</v>
      </c>
    </row>
    <row r="3" spans="1:9">
      <c r="A3" s="6">
        <v>45703</v>
      </c>
      <c r="B3" s="1">
        <v>18</v>
      </c>
      <c r="C3" s="1">
        <v>75</v>
      </c>
      <c r="D3" s="2">
        <v>14</v>
      </c>
      <c r="E3" s="2">
        <v>10</v>
      </c>
      <c r="F3" s="1" t="s">
        <v>10</v>
      </c>
    </row>
    <row r="4" spans="1:9">
      <c r="A4" s="6">
        <v>45731</v>
      </c>
      <c r="B4" s="1">
        <v>25</v>
      </c>
      <c r="C4" s="1">
        <v>60</v>
      </c>
      <c r="D4" s="2">
        <v>15</v>
      </c>
      <c r="E4" s="2">
        <v>2</v>
      </c>
      <c r="F4" s="1" t="s">
        <v>11</v>
      </c>
    </row>
    <row r="5" spans="1:9">
      <c r="A5" s="6">
        <v>45762</v>
      </c>
      <c r="B5" s="1">
        <v>32</v>
      </c>
      <c r="C5" s="1">
        <v>45</v>
      </c>
      <c r="D5" s="2">
        <v>18</v>
      </c>
      <c r="E5" s="2">
        <v>0</v>
      </c>
      <c r="F5" s="1" t="s">
        <v>11</v>
      </c>
    </row>
    <row r="6" spans="1:9">
      <c r="A6" s="6">
        <v>45792</v>
      </c>
      <c r="B6" s="1">
        <v>38</v>
      </c>
      <c r="C6" s="1">
        <v>40</v>
      </c>
      <c r="D6" s="2">
        <v>20</v>
      </c>
      <c r="E6" s="2">
        <v>0</v>
      </c>
      <c r="F6" s="1" t="s">
        <v>11</v>
      </c>
    </row>
    <row r="7" spans="1:9">
      <c r="A7" s="6">
        <v>45823</v>
      </c>
      <c r="B7" s="1">
        <v>35</v>
      </c>
      <c r="C7" s="1">
        <v>65</v>
      </c>
      <c r="D7" s="2">
        <v>22</v>
      </c>
      <c r="E7" s="2">
        <v>80</v>
      </c>
      <c r="F7" s="1" t="s">
        <v>12</v>
      </c>
    </row>
    <row r="8" spans="1:9">
      <c r="A8" s="6">
        <v>45853</v>
      </c>
      <c r="B8" s="1">
        <v>30</v>
      </c>
      <c r="C8" s="1">
        <v>85</v>
      </c>
      <c r="D8" s="2">
        <v>19</v>
      </c>
      <c r="E8" s="2">
        <v>150</v>
      </c>
      <c r="F8" s="1" t="s">
        <v>12</v>
      </c>
    </row>
    <row r="9" spans="1:9">
      <c r="A9" s="6">
        <v>45884</v>
      </c>
      <c r="B9" s="1">
        <v>29</v>
      </c>
      <c r="C9" s="1">
        <v>88</v>
      </c>
      <c r="D9" s="2">
        <v>17</v>
      </c>
      <c r="E9" s="2">
        <v>130</v>
      </c>
      <c r="F9" s="1" t="s">
        <v>12</v>
      </c>
    </row>
    <row r="10" spans="1:9">
      <c r="A10" s="6">
        <v>45915</v>
      </c>
      <c r="B10" s="1">
        <v>28</v>
      </c>
      <c r="C10" s="1">
        <v>70</v>
      </c>
      <c r="D10" s="2">
        <v>15</v>
      </c>
      <c r="E10" s="2">
        <v>45</v>
      </c>
      <c r="F10" s="1" t="s">
        <v>10</v>
      </c>
    </row>
    <row r="11" spans="1:9">
      <c r="A11" s="6">
        <v>45945</v>
      </c>
      <c r="B11" s="1">
        <v>24</v>
      </c>
      <c r="C11" s="1">
        <v>60</v>
      </c>
      <c r="D11" s="2">
        <v>12</v>
      </c>
      <c r="E11" s="2">
        <v>10</v>
      </c>
      <c r="F11" s="1" t="s">
        <v>11</v>
      </c>
    </row>
    <row r="12" spans="1:9">
      <c r="A12" s="6">
        <v>45976</v>
      </c>
      <c r="B12" s="1">
        <v>19</v>
      </c>
      <c r="C12" s="1">
        <v>70</v>
      </c>
      <c r="D12" s="2">
        <v>10</v>
      </c>
      <c r="E12" s="2">
        <v>0</v>
      </c>
      <c r="F12" s="1" t="s">
        <v>9</v>
      </c>
    </row>
    <row r="13" spans="1:9">
      <c r="A13" s="6">
        <v>46006</v>
      </c>
      <c r="B13" s="1">
        <v>14</v>
      </c>
      <c r="C13" s="1">
        <v>82</v>
      </c>
      <c r="D13" s="2">
        <v>11</v>
      </c>
      <c r="E13" s="2">
        <v>5</v>
      </c>
      <c r="F13" s="1" t="s">
        <v>13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neha pandey</cp:lastModifiedBy>
  <cp:revision/>
  <dcterms:created xsi:type="dcterms:W3CDTF">2026-07-14T10:18:54Z</dcterms:created>
  <dcterms:modified xsi:type="dcterms:W3CDTF">2026-07-14T10:48:50Z</dcterms:modified>
  <cp:category/>
  <cp:contentStatus/>
</cp:coreProperties>
</file>